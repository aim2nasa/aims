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캐치업\"/>
    </mc:Choice>
  </mc:AlternateContent>
  <xr:revisionPtr revIDLastSave="0" documentId="13_ncr:1_{547E9BAD-0B0B-4835-B1F7-D83001B6CCCD}" xr6:coauthVersionLast="47" xr6:coauthVersionMax="47" xr10:uidLastSave="{00000000-0000-0000-0000-000000000000}"/>
  <bookViews>
    <workbookView xWindow="3690" yWindow="2790" windowWidth="21855" windowHeight="14295" activeTab="1" xr2:uid="{00000000-000D-0000-FFFF-FFFF00000000}"/>
  </bookViews>
  <sheets>
    <sheet name="종신보험제안" sheetId="1" r:id="rId1"/>
    <sheet name="종신보험제안 (3)" sheetId="5" r:id="rId2"/>
    <sheet name="Sheet2" sheetId="3" r:id="rId3"/>
    <sheet name="Sheet1" sheetId="2" r:id="rId4"/>
    <sheet name="Sheet3" sheetId="4" r:id="rId5"/>
  </sheets>
  <calcPr calcId="191029"/>
</workbook>
</file>

<file path=xl/calcChain.xml><?xml version="1.0" encoding="utf-8"?>
<calcChain xmlns="http://schemas.openxmlformats.org/spreadsheetml/2006/main">
  <c r="F15" i="5" l="1"/>
  <c r="F14" i="5"/>
  <c r="F13" i="5"/>
  <c r="F9" i="5"/>
  <c r="F8" i="5"/>
  <c r="F5" i="5"/>
  <c r="F4" i="5"/>
  <c r="F7" i="5"/>
  <c r="F3" i="5"/>
  <c r="F10" i="2"/>
  <c r="G10" i="2" s="1"/>
  <c r="D10" i="2"/>
  <c r="G12" i="1"/>
  <c r="G11" i="1"/>
  <c r="G9" i="1"/>
  <c r="G8" i="1"/>
  <c r="G6" i="1"/>
  <c r="G5" i="1"/>
  <c r="G4" i="1"/>
  <c r="G3" i="1"/>
  <c r="I10" i="2" l="1"/>
  <c r="H10" i="2"/>
  <c r="G11" i="2"/>
  <c r="I11" i="2" l="1"/>
  <c r="H11" i="2"/>
</calcChain>
</file>

<file path=xl/sharedStrings.xml><?xml version="1.0" encoding="utf-8"?>
<sst xmlns="http://schemas.openxmlformats.org/spreadsheetml/2006/main" count="148" uniqueCount="100">
  <si>
    <t>변액유니버셜종신</t>
  </si>
  <si>
    <t>1억</t>
  </si>
  <si>
    <t>상품명</t>
  </si>
  <si>
    <t>월보험료</t>
  </si>
  <si>
    <t>계약자</t>
  </si>
  <si>
    <t>15년납</t>
  </si>
  <si>
    <t>피보험자</t>
  </si>
  <si>
    <t>납입만기</t>
  </si>
  <si>
    <t>사망보험금</t>
  </si>
  <si>
    <t>유니버셜달러</t>
  </si>
  <si>
    <t>캐치업코리아</t>
  </si>
  <si>
    <t>김보성 대표님 보장(사망) 및 생활자금 Plan</t>
  </si>
  <si>
    <t>2026.03.30
의무납(10개월남음)</t>
  </si>
  <si>
    <r>
      <t xml:space="preserve"> 변액상품/추가납100%/중도인출
 /선납36개월가능/의무납36개월/
</t>
    </r>
    <r>
      <rPr>
        <b/>
        <sz val="11"/>
        <color rgb="FF000000"/>
        <rFont val="맑은 고딕"/>
        <family val="3"/>
        <charset val="129"/>
      </rPr>
      <t xml:space="preserve"> 납입의유연성</t>
    </r>
  </si>
  <si>
    <t>생활자금인출71세부터 20년간 총 69,700,000원 지급 잔액1000만원 남음</t>
  </si>
  <si>
    <t>변액유니버셜VIP종신</t>
  </si>
  <si>
    <t>오늘의 종신보험</t>
  </si>
  <si>
    <t xml:space="preserve"> 변액모두의상속종신</t>
  </si>
  <si>
    <t>670725-1</t>
  </si>
  <si>
    <t xml:space="preserve"> 모두의종신(체증형)</t>
  </si>
  <si>
    <t>잔여 사망보험금</t>
  </si>
  <si>
    <t>납입기간
(년)</t>
  </si>
  <si>
    <t>안영미</t>
  </si>
  <si>
    <t>80세</t>
  </si>
  <si>
    <t>납기</t>
  </si>
  <si>
    <t>보험료</t>
  </si>
  <si>
    <t>특징</t>
  </si>
  <si>
    <t>15년</t>
  </si>
  <si>
    <t>10년</t>
  </si>
  <si>
    <t>20년수령</t>
  </si>
  <si>
    <t>가입금액</t>
  </si>
  <si>
    <t>총보험료</t>
  </si>
  <si>
    <t xml:space="preserve"> 모두의종신</t>
  </si>
  <si>
    <t>총납입금액</t>
  </si>
  <si>
    <t>더 받는 금액</t>
  </si>
  <si>
    <t>보장금액</t>
  </si>
  <si>
    <t>확정수령액</t>
  </si>
  <si>
    <t>원금대비수익률</t>
  </si>
  <si>
    <t>25년수령</t>
  </si>
  <si>
    <t>달러경영인정기</t>
  </si>
  <si>
    <t>3억</t>
  </si>
  <si>
    <t>71세부터 생활자금 수령 (20년간)</t>
  </si>
  <si>
    <t>투자손실이 나더라도 최저생활자금 보장</t>
  </si>
  <si>
    <t>최저보증으로 안전하게 (연복리2.8%)</t>
  </si>
  <si>
    <t xml:space="preserve"> 확정금리형/저해약환급금</t>
  </si>
  <si>
    <t>사망보장과 생활자금이 결합</t>
  </si>
  <si>
    <t xml:space="preserve"> 변액유니버셜
오늘의종신</t>
  </si>
  <si>
    <t>생활자금
수령액 (총)</t>
  </si>
  <si>
    <t>김보성</t>
  </si>
  <si>
    <t>김보성 대표님 (57세) 종신보험제안서</t>
  </si>
  <si>
    <t>*1억….무진단 대상(삭감5년,위(암)종신부담보)/2025-08-15 상령일</t>
  </si>
  <si>
    <t>캐치업코리아
(김보성계약자변경)</t>
  </si>
  <si>
    <t>★ 펀드수익율 0% 가정 - 수익이 나면 생활자금 및 사망보험금 수령액 높아짐</t>
  </si>
  <si>
    <t xml:space="preserve"> 매5년마다사망보험금10% 증가</t>
  </si>
  <si>
    <t>★ 예정이율 연복리2.8% 적용</t>
  </si>
  <si>
    <t>★ 10년 납입 / 71세부터 생활자금 20년 수령</t>
  </si>
  <si>
    <t xml:space="preserve"> 35년(92세 16,000만원)/20,000만원종료</t>
  </si>
  <si>
    <r>
      <t xml:space="preserve"> 변액상품/추가납100%/중도인출
 /의무납36개월/</t>
    </r>
    <r>
      <rPr>
        <b/>
        <sz val="11"/>
        <color rgb="FF000000"/>
        <rFont val="맑은 고딕"/>
        <family val="3"/>
        <charset val="129"/>
      </rPr>
      <t>생활비지급</t>
    </r>
  </si>
  <si>
    <t>216,613,602
(162%수익)</t>
  </si>
  <si>
    <t>GI종신</t>
  </si>
  <si>
    <t>90세납</t>
  </si>
  <si>
    <t>납입완료/2029.05</t>
  </si>
  <si>
    <t>2028.10.30</t>
  </si>
  <si>
    <t>2032, 09.30</t>
  </si>
  <si>
    <t>실버플랜</t>
  </si>
  <si>
    <t>퇴직시 퇴직금처리</t>
  </si>
  <si>
    <t>환율:1,416기준</t>
    <phoneticPr fontId="13" type="noConversion"/>
  </si>
  <si>
    <t>520,000(USD)
7.3억</t>
    <phoneticPr fontId="13" type="noConversion"/>
  </si>
  <si>
    <t>540,000(USD)
7.6억</t>
    <phoneticPr fontId="13" type="noConversion"/>
  </si>
  <si>
    <t>500,000(USD)
7억</t>
    <phoneticPr fontId="13" type="noConversion"/>
  </si>
  <si>
    <t>180,000(USD)
2.5억</t>
    <phoneticPr fontId="13" type="noConversion"/>
  </si>
  <si>
    <t>물건지주소</t>
    <phoneticPr fontId="14" type="noConversion"/>
  </si>
  <si>
    <t>소유주</t>
    <phoneticPr fontId="14" type="noConversion"/>
  </si>
  <si>
    <t>평형</t>
    <phoneticPr fontId="14" type="noConversion"/>
  </si>
  <si>
    <t>현시세</t>
    <phoneticPr fontId="14" type="noConversion"/>
  </si>
  <si>
    <t>경기도 고양시일산동구 강송로33, 105동 903호
(백석동,일산요진와이시티)</t>
    <phoneticPr fontId="14" type="noConversion"/>
  </si>
  <si>
    <t>안영미</t>
    <phoneticPr fontId="14" type="noConversion"/>
  </si>
  <si>
    <t>103.41m
14,7500(만원)</t>
    <phoneticPr fontId="14" type="noConversion"/>
  </si>
  <si>
    <t>경기도 고양시 일산동구 백석동 호수로336  102동402호
(백석동.브라운스톤)</t>
    <phoneticPr fontId="14" type="noConversion"/>
  </si>
  <si>
    <t>김보성</t>
    <phoneticPr fontId="14" type="noConversion"/>
  </si>
  <si>
    <t>178.54m
68,000(만원)</t>
    <phoneticPr fontId="14" type="noConversion"/>
  </si>
  <si>
    <t>경기도 파주시 교하로 501(동패동)…자가창고시설</t>
    <phoneticPr fontId="14" type="noConversion"/>
  </si>
  <si>
    <t>캐치업코리아
(법인)</t>
    <phoneticPr fontId="14" type="noConversion"/>
  </si>
  <si>
    <t>398m</t>
    <phoneticPr fontId="14" type="noConversion"/>
  </si>
  <si>
    <t>경기도 파주시 탄현면 방촌로 1172-5(낙하리)</t>
    <phoneticPr fontId="14" type="noConversion"/>
  </si>
  <si>
    <t>952m</t>
    <phoneticPr fontId="14" type="noConversion"/>
  </si>
  <si>
    <t>경기도 고양시 일산동구 백석동1141-1테크노타운</t>
    <phoneticPr fontId="14" type="noConversion"/>
  </si>
  <si>
    <t>임대중</t>
    <phoneticPr fontId="14" type="noConversion"/>
  </si>
  <si>
    <t>백석동 오피스텔(분양)….건설중/2024년입주예정</t>
  </si>
  <si>
    <t>베트남아파트</t>
    <phoneticPr fontId="14" type="noConversion"/>
  </si>
  <si>
    <t>1억+1억5000(재해)
=2억5천</t>
    <phoneticPr fontId="13" type="noConversion"/>
  </si>
  <si>
    <t>20년</t>
    <phoneticPr fontId="13" type="noConversion"/>
  </si>
  <si>
    <t xml:space="preserve"> 모두의 달러종신</t>
    <phoneticPr fontId="13" type="noConversion"/>
  </si>
  <si>
    <t>100,000(USD)
약1억4000(원화)</t>
    <phoneticPr fontId="13" type="noConversion"/>
  </si>
  <si>
    <t>사망보험금 달러지급가능</t>
    <phoneticPr fontId="13" type="noConversion"/>
  </si>
  <si>
    <r>
      <t xml:space="preserve"> 매5년마다사망보험금10% 증가
97세 재해사망합산
</t>
    </r>
    <r>
      <rPr>
        <b/>
        <sz val="11"/>
        <color rgb="FFFF0000"/>
        <rFont val="맑은 고딕"/>
        <family val="3"/>
        <charset val="129"/>
      </rPr>
      <t>3억2천</t>
    </r>
    <phoneticPr fontId="13" type="noConversion"/>
  </si>
  <si>
    <t>백만인을위한종신</t>
    <phoneticPr fontId="13" type="noConversion"/>
  </si>
  <si>
    <t>10년</t>
    <phoneticPr fontId="13" type="noConversion"/>
  </si>
  <si>
    <t>15년</t>
    <phoneticPr fontId="13" type="noConversion"/>
  </si>
  <si>
    <r>
      <t>납입완료1일차 사망보험금</t>
    </r>
    <r>
      <rPr>
        <b/>
        <sz val="11"/>
        <color rgb="FFFF0000"/>
        <rFont val="맑은 고딕"/>
        <family val="3"/>
        <charset val="129"/>
      </rPr>
      <t>2억</t>
    </r>
    <r>
      <rPr>
        <sz val="11"/>
        <color rgb="FF000000"/>
        <rFont val="맑은 고딕"/>
        <family val="3"/>
        <charset val="129"/>
      </rPr>
      <t xml:space="preserve">
해약환급금113%
(합산3억5천)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</si>
</sst>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$-409]#,##0.00"/>
  </numFmts>
  <fonts count="1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나눔고딕"/>
      <family val="3"/>
      <charset val="129"/>
    </font>
    <font>
      <sz val="6"/>
      <color rgb="FF000000"/>
      <name val="나눔고딕"/>
      <family val="3"/>
      <charset val="129"/>
    </font>
    <font>
      <sz val="8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b/>
      <sz val="11"/>
      <color rgb="FF000000"/>
      <name val="나눔고딕"/>
      <family val="3"/>
      <charset val="129"/>
    </font>
    <font>
      <b/>
      <sz val="18"/>
      <color rgb="FFFFFFFF"/>
      <name val="나눔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CDE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A6A6A6"/>
      </left>
      <right style="thin">
        <color rgb="FFA6A6A6"/>
      </right>
      <top/>
      <bottom style="medium">
        <color rgb="FF4F81BD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medium">
        <color rgb="FF4F6228"/>
      </bottom>
      <diagonal/>
    </border>
    <border>
      <left/>
      <right/>
      <top/>
      <bottom style="medium">
        <color rgb="FF4F6228"/>
      </bottom>
      <diagonal/>
    </border>
    <border>
      <left/>
      <right style="thin">
        <color rgb="FFA6A6A6"/>
      </right>
      <top/>
      <bottom style="medium">
        <color rgb="FF4F6228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medium">
        <color rgb="FF4F81BD"/>
      </top>
      <bottom style="thin">
        <color rgb="FFA6A6A6"/>
      </bottom>
      <diagonal/>
    </border>
    <border>
      <left/>
      <right style="thin">
        <color rgb="FFA6A6A6"/>
      </right>
      <top style="medium">
        <color rgb="FF4F81BD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 style="medium">
        <color rgb="FFF79646"/>
      </top>
      <bottom style="thin">
        <color rgb="FFA6A6A6"/>
      </bottom>
      <diagonal/>
    </border>
    <border>
      <left/>
      <right style="thin">
        <color rgb="FFA6A6A6"/>
      </right>
      <top style="medium">
        <color rgb="FFF79646"/>
      </top>
      <bottom style="thin">
        <color rgb="FFA6A6A6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A6A6A6"/>
      </left>
      <right style="thin">
        <color rgb="FFA6A6A6"/>
      </right>
      <top/>
      <bottom style="medium">
        <color rgb="FF008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008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A6A6A6"/>
      </left>
      <right/>
      <top/>
      <bottom style="medium">
        <color rgb="FF4F81BD"/>
      </bottom>
      <diagonal/>
    </border>
    <border>
      <left/>
      <right/>
      <top/>
      <bottom style="medium">
        <color rgb="FF4F81BD"/>
      </bottom>
      <diagonal/>
    </border>
    <border>
      <left/>
      <right style="thin">
        <color rgb="FFA6A6A6"/>
      </right>
      <top/>
      <bottom style="medium">
        <color rgb="FF4F81BD"/>
      </bottom>
      <diagonal/>
    </border>
    <border>
      <left style="thin">
        <color rgb="FFA6A6A6"/>
      </left>
      <right style="thin">
        <color rgb="FFA6A6A6"/>
      </right>
      <top style="thin">
        <color theme="0" tint="-0.34998626667073579"/>
      </top>
      <bottom/>
      <diagonal/>
    </border>
    <border>
      <left style="thin">
        <color rgb="FFA6A6A6"/>
      </left>
      <right style="thin">
        <color rgb="FFA6A6A6"/>
      </right>
      <top style="thin">
        <color theme="0" tint="-0.34998626667073579"/>
      </top>
      <bottom style="medium">
        <color rgb="FF4F81BD"/>
      </bottom>
      <diagonal/>
    </border>
    <border>
      <left style="thin">
        <color rgb="FFA6A6A6"/>
      </left>
      <right style="thin">
        <color rgb="FFA6A6A6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4">
    <xf numFmtId="0" fontId="0" fillId="0" borderId="0">
      <alignment vertical="center"/>
    </xf>
    <xf numFmtId="9" fontId="12" fillId="0" borderId="0">
      <alignment vertical="center"/>
    </xf>
    <xf numFmtId="41" fontId="12" fillId="0" borderId="0">
      <alignment vertical="center"/>
    </xf>
    <xf numFmtId="0" fontId="0" fillId="0" borderId="24" xfId="0" applyBorder="1" applyAlignment="1">
      <alignment horizontal="center" vertical="center"/>
    </xf>
  </cellStyleXfs>
  <cellXfs count="1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41" fontId="5" fillId="0" borderId="0" xfId="2" applyFont="1" applyAlignment="1">
      <alignment horizontal="center" vertical="center"/>
    </xf>
    <xf numFmtId="41" fontId="7" fillId="0" borderId="0" xfId="2" applyFont="1" applyAlignment="1">
      <alignment horizontal="right" vertical="center"/>
    </xf>
    <xf numFmtId="14" fontId="7" fillId="0" borderId="0" xfId="0" applyNumberFormat="1" applyFont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41" fontId="8" fillId="4" borderId="4" xfId="2" applyFont="1" applyFill="1" applyBorder="1" applyAlignment="1">
      <alignment horizontal="left" vertical="center"/>
    </xf>
    <xf numFmtId="41" fontId="8" fillId="4" borderId="4" xfId="2" applyFont="1" applyFill="1" applyBorder="1" applyAlignment="1">
      <alignment horizontal="center" vertical="center"/>
    </xf>
    <xf numFmtId="41" fontId="7" fillId="0" borderId="0" xfId="2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41" fontId="5" fillId="4" borderId="0" xfId="2" applyFont="1" applyFill="1" applyAlignment="1">
      <alignment horizontal="left" vertical="center"/>
    </xf>
    <xf numFmtId="41" fontId="5" fillId="4" borderId="0" xfId="2" applyFont="1" applyFill="1" applyAlignment="1">
      <alignment horizontal="center" vertical="center"/>
    </xf>
    <xf numFmtId="41" fontId="7" fillId="4" borderId="0" xfId="2" applyFont="1" applyFill="1" applyAlignment="1">
      <alignment horizontal="right"/>
    </xf>
    <xf numFmtId="41" fontId="8" fillId="4" borderId="0" xfId="2" applyFont="1" applyFill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41" fontId="9" fillId="3" borderId="5" xfId="2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41" fontId="9" fillId="5" borderId="5" xfId="2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41" fontId="8" fillId="0" borderId="5" xfId="2" applyFont="1" applyBorder="1" applyAlignment="1">
      <alignment horizontal="center" vertical="center"/>
    </xf>
    <xf numFmtId="41" fontId="8" fillId="5" borderId="5" xfId="2" applyFont="1" applyFill="1" applyBorder="1" applyAlignment="1">
      <alignment horizontal="center" vertical="center"/>
    </xf>
    <xf numFmtId="9" fontId="8" fillId="6" borderId="5" xfId="1" applyFont="1" applyFill="1" applyBorder="1" applyAlignment="1">
      <alignment horizontal="center" vertical="center"/>
    </xf>
    <xf numFmtId="41" fontId="8" fillId="0" borderId="0" xfId="2" applyFont="1" applyAlignment="1">
      <alignment horizontal="center" vertical="center"/>
    </xf>
    <xf numFmtId="9" fontId="8" fillId="0" borderId="0" xfId="1" applyFont="1" applyAlignment="1">
      <alignment horizontal="center" vertical="center"/>
    </xf>
    <xf numFmtId="41" fontId="8" fillId="0" borderId="0" xfId="2" applyFont="1" applyAlignment="1">
      <alignment horizontal="left" vertical="center"/>
    </xf>
    <xf numFmtId="41" fontId="11" fillId="3" borderId="1" xfId="0" applyNumberFormat="1" applyFont="1" applyFill="1" applyBorder="1" applyAlignment="1">
      <alignment horizontal="center" vertical="center"/>
    </xf>
    <xf numFmtId="41" fontId="11" fillId="3" borderId="2" xfId="0" applyNumberFormat="1" applyFont="1" applyFill="1" applyBorder="1" applyAlignment="1">
      <alignment horizontal="center" vertical="center"/>
    </xf>
    <xf numFmtId="41" fontId="11" fillId="0" borderId="1" xfId="0" applyNumberFormat="1" applyFont="1" applyBorder="1" applyAlignment="1">
      <alignment horizontal="center" vertical="center"/>
    </xf>
    <xf numFmtId="41" fontId="12" fillId="0" borderId="1" xfId="2" applyBorder="1">
      <alignment vertical="center"/>
    </xf>
    <xf numFmtId="41" fontId="12" fillId="0" borderId="2" xfId="2" applyBorder="1">
      <alignment vertical="center"/>
    </xf>
    <xf numFmtId="41" fontId="12" fillId="0" borderId="3" xfId="2" applyBorder="1">
      <alignment vertical="center"/>
    </xf>
    <xf numFmtId="41" fontId="12" fillId="3" borderId="1" xfId="2" applyFill="1" applyBorder="1">
      <alignment vertical="center"/>
    </xf>
    <xf numFmtId="41" fontId="12" fillId="3" borderId="2" xfId="2" applyFill="1" applyBorder="1">
      <alignment vertical="center"/>
    </xf>
    <xf numFmtId="41" fontId="11" fillId="0" borderId="2" xfId="0" applyNumberFormat="1" applyFont="1" applyBorder="1" applyAlignment="1">
      <alignment horizontal="center" vertical="center"/>
    </xf>
    <xf numFmtId="41" fontId="11" fillId="0" borderId="3" xfId="0" applyNumberFormat="1" applyFont="1" applyBorder="1" applyAlignment="1">
      <alignment horizontal="center" vertical="center"/>
    </xf>
    <xf numFmtId="41" fontId="11" fillId="0" borderId="1" xfId="0" applyNumberFormat="1" applyFont="1" applyBorder="1" applyAlignment="1">
      <alignment horizontal="left" vertical="center"/>
    </xf>
    <xf numFmtId="41" fontId="12" fillId="0" borderId="1" xfId="2" applyBorder="1" applyAlignment="1">
      <alignment horizontal="left" vertical="center"/>
    </xf>
    <xf numFmtId="41" fontId="0" fillId="0" borderId="1" xfId="0" applyNumberFormat="1" applyBorder="1" applyAlignment="1">
      <alignment horizontal="left" vertical="center"/>
    </xf>
    <xf numFmtId="41" fontId="11" fillId="0" borderId="30" xfId="0" applyNumberFormat="1" applyFont="1" applyBorder="1" applyAlignment="1">
      <alignment horizontal="left" vertical="center"/>
    </xf>
    <xf numFmtId="41" fontId="11" fillId="0" borderId="30" xfId="2" applyFont="1" applyBorder="1" applyAlignment="1">
      <alignment horizontal="left" vertical="center"/>
    </xf>
    <xf numFmtId="41" fontId="0" fillId="0" borderId="30" xfId="0" applyNumberFormat="1" applyBorder="1" applyAlignment="1">
      <alignment horizontal="left" vertical="center"/>
    </xf>
    <xf numFmtId="0" fontId="0" fillId="0" borderId="31" xfId="0" applyBorder="1">
      <alignment vertical="center"/>
    </xf>
    <xf numFmtId="0" fontId="0" fillId="0" borderId="31" xfId="3" applyFont="1" applyBorder="1" applyAlignment="1">
      <alignment horizontal="center" vertical="center"/>
    </xf>
    <xf numFmtId="0" fontId="0" fillId="0" borderId="31" xfId="3" applyFont="1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8" borderId="31" xfId="3" applyFont="1" applyFill="1" applyBorder="1">
      <alignment vertical="center"/>
    </xf>
    <xf numFmtId="0" fontId="0" fillId="8" borderId="31" xfId="3" applyFont="1" applyFill="1" applyBorder="1" applyAlignment="1">
      <alignment horizontal="center" vertical="center"/>
    </xf>
    <xf numFmtId="0" fontId="0" fillId="8" borderId="31" xfId="3" applyFont="1" applyFill="1" applyBorder="1" applyAlignment="1">
      <alignment horizontal="right" vertical="center"/>
    </xf>
    <xf numFmtId="176" fontId="0" fillId="8" borderId="31" xfId="3" applyNumberFormat="1" applyFont="1" applyFill="1" applyBorder="1">
      <alignment vertical="center"/>
    </xf>
    <xf numFmtId="0" fontId="0" fillId="8" borderId="31" xfId="3" applyFont="1" applyFill="1" applyBorder="1" applyAlignment="1">
      <alignment vertical="center" wrapText="1"/>
    </xf>
    <xf numFmtId="0" fontId="0" fillId="8" borderId="31" xfId="0" applyFill="1" applyBorder="1">
      <alignment vertical="center"/>
    </xf>
    <xf numFmtId="0" fontId="0" fillId="8" borderId="31" xfId="3" applyFont="1" applyFill="1" applyBorder="1" applyAlignment="1">
      <alignment horizontal="center" vertical="center" wrapText="1"/>
    </xf>
    <xf numFmtId="0" fontId="0" fillId="9" borderId="31" xfId="3" applyFont="1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8" borderId="31" xfId="3" applyFont="1" applyFill="1" applyBorder="1" applyAlignment="1">
      <alignment horizontal="right" vertical="center" wrapText="1"/>
    </xf>
    <xf numFmtId="0" fontId="1" fillId="10" borderId="31" xfId="0" applyFont="1" applyFill="1" applyBorder="1" applyAlignment="1">
      <alignment horizontal="right" vertical="center" wrapText="1"/>
    </xf>
    <xf numFmtId="0" fontId="0" fillId="0" borderId="32" xfId="0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0" fillId="0" borderId="36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41" fontId="11" fillId="11" borderId="2" xfId="0" applyNumberFormat="1" applyFont="1" applyFill="1" applyBorder="1" applyAlignment="1">
      <alignment horizontal="center" vertical="center"/>
    </xf>
    <xf numFmtId="41" fontId="0" fillId="11" borderId="1" xfId="0" applyNumberFormat="1" applyFill="1" applyBorder="1">
      <alignment vertical="center"/>
    </xf>
    <xf numFmtId="41" fontId="11" fillId="0" borderId="46" xfId="0" applyNumberFormat="1" applyFont="1" applyBorder="1" applyAlignment="1">
      <alignment horizontal="center" vertical="center"/>
    </xf>
    <xf numFmtId="41" fontId="11" fillId="0" borderId="47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" fillId="0" borderId="0" xfId="0" applyFo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8" borderId="31" xfId="3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41" fontId="8" fillId="0" borderId="27" xfId="2" applyFont="1" applyBorder="1" applyAlignment="1">
      <alignment horizontal="center" vertical="center"/>
    </xf>
    <xf numFmtId="41" fontId="8" fillId="0" borderId="28" xfId="2" applyFont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2" xfId="0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0" fillId="12" borderId="49" xfId="0" applyFill="1" applyBorder="1" applyAlignment="1">
      <alignment horizontal="center" vertical="center"/>
    </xf>
    <xf numFmtId="0" fontId="1" fillId="12" borderId="49" xfId="0" applyFont="1" applyFill="1" applyBorder="1" applyAlignment="1">
      <alignment horizontal="center" vertical="center"/>
    </xf>
    <xf numFmtId="0" fontId="1" fillId="12" borderId="49" xfId="0" applyFont="1" applyFill="1" applyBorder="1" applyAlignment="1">
      <alignment horizontal="center" vertical="center" wrapText="1"/>
    </xf>
    <xf numFmtId="0" fontId="1" fillId="12" borderId="31" xfId="0" applyFont="1" applyFill="1" applyBorder="1" applyAlignment="1">
      <alignment horizontal="center" vertical="center"/>
    </xf>
    <xf numFmtId="41" fontId="12" fillId="12" borderId="31" xfId="2" applyFill="1" applyBorder="1">
      <alignment vertical="center"/>
    </xf>
    <xf numFmtId="41" fontId="0" fillId="12" borderId="31" xfId="0" applyNumberFormat="1" applyFill="1" applyBorder="1">
      <alignment vertical="center"/>
    </xf>
    <xf numFmtId="0" fontId="1" fillId="12" borderId="37" xfId="0" applyFont="1" applyFill="1" applyBorder="1" applyAlignment="1">
      <alignment horizontal="center" vertical="center" wrapText="1"/>
    </xf>
    <xf numFmtId="0" fontId="1" fillId="12" borderId="38" xfId="0" applyFont="1" applyFill="1" applyBorder="1" applyAlignment="1">
      <alignment horizontal="center" vertical="center" wrapText="1"/>
    </xf>
    <xf numFmtId="0" fontId="1" fillId="12" borderId="39" xfId="0" applyFont="1" applyFill="1" applyBorder="1" applyAlignment="1">
      <alignment horizontal="center" vertical="center" wrapText="1"/>
    </xf>
    <xf numFmtId="0" fontId="0" fillId="12" borderId="50" xfId="0" applyFill="1" applyBorder="1" applyAlignment="1">
      <alignment horizontal="center" vertical="center"/>
    </xf>
    <xf numFmtId="0" fontId="1" fillId="12" borderId="50" xfId="0" applyFont="1" applyFill="1" applyBorder="1" applyAlignment="1">
      <alignment horizontal="center" vertical="center"/>
    </xf>
    <xf numFmtId="0" fontId="1" fillId="12" borderId="50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1" fillId="12" borderId="53" xfId="0" applyFont="1" applyFill="1" applyBorder="1" applyAlignment="1">
      <alignment horizontal="center" vertical="center" wrapText="1"/>
    </xf>
    <xf numFmtId="0" fontId="0" fillId="12" borderId="51" xfId="0" applyFill="1" applyBorder="1" applyAlignment="1">
      <alignment horizontal="center" vertical="center"/>
    </xf>
    <xf numFmtId="0" fontId="1" fillId="12" borderId="51" xfId="0" applyFont="1" applyFill="1" applyBorder="1" applyAlignment="1">
      <alignment horizontal="center" vertical="center"/>
    </xf>
    <xf numFmtId="0" fontId="1" fillId="12" borderId="51" xfId="0" applyFont="1" applyFill="1" applyBorder="1" applyAlignment="1">
      <alignment horizontal="center" vertical="center" wrapText="1"/>
    </xf>
    <xf numFmtId="0" fontId="1" fillId="12" borderId="40" xfId="0" applyFont="1" applyFill="1" applyBorder="1" applyAlignment="1">
      <alignment horizontal="center" vertical="center" wrapText="1"/>
    </xf>
    <xf numFmtId="0" fontId="1" fillId="12" borderId="41" xfId="0" applyFont="1" applyFill="1" applyBorder="1" applyAlignment="1">
      <alignment horizontal="center" vertical="center" wrapText="1"/>
    </xf>
    <xf numFmtId="0" fontId="1" fillId="12" borderId="42" xfId="0" applyFont="1" applyFill="1" applyBorder="1" applyAlignment="1">
      <alignment horizontal="center" vertical="center" wrapText="1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"/>
  <sheetViews>
    <sheetView zoomScaleNormal="75" zoomScaleSheetLayoutView="100" workbookViewId="0">
      <selection sqref="A1:A1048576"/>
    </sheetView>
  </sheetViews>
  <sheetFormatPr defaultColWidth="9" defaultRowHeight="16.5" x14ac:dyDescent="0.3"/>
  <cols>
    <col min="1" max="1" width="5.875" customWidth="1"/>
    <col min="2" max="2" width="19.25" customWidth="1"/>
    <col min="5" max="5" width="12.875" customWidth="1"/>
    <col min="6" max="6" width="10.5" customWidth="1"/>
    <col min="7" max="7" width="15.5" customWidth="1"/>
  </cols>
  <sheetData>
    <row r="1" spans="1:11" ht="54.75" customHeight="1" x14ac:dyDescent="0.3">
      <c r="B1" s="2" t="s">
        <v>49</v>
      </c>
      <c r="C1" s="2"/>
      <c r="D1" s="2"/>
      <c r="E1" s="2"/>
      <c r="H1" s="75"/>
    </row>
    <row r="2" spans="1:11" ht="24" customHeight="1" x14ac:dyDescent="0.3">
      <c r="A2" s="4"/>
      <c r="B2" s="5" t="s">
        <v>2</v>
      </c>
      <c r="C2" s="5" t="s">
        <v>30</v>
      </c>
      <c r="D2" s="5" t="s">
        <v>24</v>
      </c>
      <c r="E2" s="5" t="s">
        <v>3</v>
      </c>
      <c r="F2" s="5"/>
      <c r="G2" s="5" t="s">
        <v>31</v>
      </c>
      <c r="H2" s="113" t="s">
        <v>26</v>
      </c>
      <c r="I2" s="114"/>
      <c r="J2" s="114"/>
      <c r="K2" s="115"/>
    </row>
    <row r="3" spans="1:11" ht="24.75" customHeight="1" x14ac:dyDescent="0.3">
      <c r="A3" s="85">
        <v>1</v>
      </c>
      <c r="B3" s="85" t="s">
        <v>32</v>
      </c>
      <c r="C3" s="85" t="s">
        <v>1</v>
      </c>
      <c r="D3" s="6" t="s">
        <v>28</v>
      </c>
      <c r="E3" s="41">
        <v>464000</v>
      </c>
      <c r="F3" s="42">
        <v>417000</v>
      </c>
      <c r="G3" s="7">
        <f>E3*10*12</f>
        <v>55680000</v>
      </c>
      <c r="H3" s="110" t="s">
        <v>44</v>
      </c>
      <c r="I3" s="111"/>
      <c r="J3" s="111"/>
      <c r="K3" s="112"/>
    </row>
    <row r="4" spans="1:11" ht="24.75" customHeight="1" x14ac:dyDescent="0.3">
      <c r="A4" s="116"/>
      <c r="B4" s="116"/>
      <c r="C4" s="116"/>
      <c r="D4" s="8" t="s">
        <v>27</v>
      </c>
      <c r="E4" s="47">
        <v>341000</v>
      </c>
      <c r="F4" s="43">
        <v>313000</v>
      </c>
      <c r="G4" s="7">
        <f>E4*15*12</f>
        <v>61380000</v>
      </c>
      <c r="H4" s="117"/>
      <c r="I4" s="118"/>
      <c r="J4" s="118"/>
      <c r="K4" s="119"/>
    </row>
    <row r="5" spans="1:11" ht="28.5" customHeight="1" x14ac:dyDescent="0.3">
      <c r="A5" s="85">
        <v>2</v>
      </c>
      <c r="B5" s="85" t="s">
        <v>19</v>
      </c>
      <c r="C5" s="85" t="s">
        <v>1</v>
      </c>
      <c r="D5" s="8" t="s">
        <v>28</v>
      </c>
      <c r="E5" s="47">
        <v>724000</v>
      </c>
      <c r="F5" s="43">
        <v>651000</v>
      </c>
      <c r="G5" s="7">
        <f>E5*10*12</f>
        <v>86880000</v>
      </c>
      <c r="H5" s="107" t="s">
        <v>53</v>
      </c>
      <c r="I5" s="108"/>
      <c r="J5" s="108"/>
      <c r="K5" s="109"/>
    </row>
    <row r="6" spans="1:11" ht="28.5" customHeight="1" thickBot="1" x14ac:dyDescent="0.35">
      <c r="A6" s="106"/>
      <c r="B6" s="106"/>
      <c r="C6" s="106"/>
      <c r="D6" s="9" t="s">
        <v>27</v>
      </c>
      <c r="E6" s="48">
        <v>532000</v>
      </c>
      <c r="F6" s="44">
        <v>487000</v>
      </c>
      <c r="G6" s="7">
        <f>E6*15*12</f>
        <v>95760000</v>
      </c>
      <c r="H6" s="110" t="s">
        <v>56</v>
      </c>
      <c r="I6" s="111"/>
      <c r="J6" s="111"/>
      <c r="K6" s="112"/>
    </row>
    <row r="7" spans="1:11" x14ac:dyDescent="0.3">
      <c r="A7" s="94"/>
      <c r="B7" s="94"/>
      <c r="C7" s="94"/>
      <c r="D7" s="94"/>
      <c r="E7" s="94"/>
      <c r="F7" s="94"/>
      <c r="G7" s="94"/>
      <c r="H7" s="94"/>
      <c r="I7" s="94"/>
      <c r="J7" s="94"/>
      <c r="K7" s="95"/>
    </row>
    <row r="8" spans="1:11" ht="38.25" customHeight="1" x14ac:dyDescent="0.3">
      <c r="A8" s="96">
        <v>3</v>
      </c>
      <c r="B8" s="98" t="s">
        <v>17</v>
      </c>
      <c r="C8" s="96" t="s">
        <v>1</v>
      </c>
      <c r="D8" s="11" t="s">
        <v>28</v>
      </c>
      <c r="E8" s="39">
        <v>486100</v>
      </c>
      <c r="F8" s="45">
        <v>473000</v>
      </c>
      <c r="G8" s="12">
        <f>E8*10*12</f>
        <v>58332000</v>
      </c>
      <c r="H8" s="100" t="s">
        <v>13</v>
      </c>
      <c r="I8" s="101"/>
      <c r="J8" s="101"/>
      <c r="K8" s="102"/>
    </row>
    <row r="9" spans="1:11" ht="42" customHeight="1" thickBot="1" x14ac:dyDescent="0.35">
      <c r="A9" s="97"/>
      <c r="B9" s="99"/>
      <c r="C9" s="97"/>
      <c r="D9" s="10" t="s">
        <v>27</v>
      </c>
      <c r="E9" s="40">
        <v>352700</v>
      </c>
      <c r="F9" s="46">
        <v>342600</v>
      </c>
      <c r="G9" s="12">
        <f>E9*15*12</f>
        <v>63486000</v>
      </c>
      <c r="H9" s="103"/>
      <c r="I9" s="104"/>
      <c r="J9" s="104"/>
      <c r="K9" s="105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84"/>
    </row>
    <row r="11" spans="1:11" ht="28.5" customHeight="1" x14ac:dyDescent="0.3">
      <c r="A11" s="85">
        <v>4</v>
      </c>
      <c r="B11" s="87" t="s">
        <v>46</v>
      </c>
      <c r="C11" s="85" t="s">
        <v>1</v>
      </c>
      <c r="D11" s="6" t="s">
        <v>28</v>
      </c>
      <c r="E11" s="49">
        <v>619000</v>
      </c>
      <c r="F11" s="50">
        <v>607000</v>
      </c>
      <c r="G11" s="51">
        <f>E11*10*12</f>
        <v>74280000</v>
      </c>
      <c r="H11" s="88" t="s">
        <v>57</v>
      </c>
      <c r="I11" s="89"/>
      <c r="J11" s="89"/>
      <c r="K11" s="90"/>
    </row>
    <row r="12" spans="1:11" ht="33.75" customHeight="1" thickBot="1" x14ac:dyDescent="0.35">
      <c r="A12" s="86"/>
      <c r="B12" s="86"/>
      <c r="C12" s="86"/>
      <c r="D12" s="74" t="s">
        <v>5</v>
      </c>
      <c r="E12" s="52">
        <v>442000</v>
      </c>
      <c r="F12" s="53"/>
      <c r="G12" s="54">
        <f>E12*15*12</f>
        <v>79560000</v>
      </c>
      <c r="H12" s="91"/>
      <c r="I12" s="92"/>
      <c r="J12" s="92"/>
      <c r="K12" s="93"/>
    </row>
    <row r="13" spans="1:11" ht="31.5" customHeight="1" x14ac:dyDescent="0.3">
      <c r="F13" t="s">
        <v>14</v>
      </c>
    </row>
    <row r="14" spans="1:11" x14ac:dyDescent="0.3">
      <c r="A14" s="3" t="s">
        <v>50</v>
      </c>
      <c r="B14" s="3"/>
      <c r="C14" s="3"/>
      <c r="D14" s="3"/>
      <c r="E14" s="3"/>
    </row>
    <row r="17" spans="4:5" x14ac:dyDescent="0.3">
      <c r="D17" s="1"/>
      <c r="E17" s="1"/>
    </row>
  </sheetData>
  <mergeCells count="20">
    <mergeCell ref="H2:K2"/>
    <mergeCell ref="A3:A4"/>
    <mergeCell ref="B3:B4"/>
    <mergeCell ref="C3:C4"/>
    <mergeCell ref="H3:K4"/>
    <mergeCell ref="A5:A6"/>
    <mergeCell ref="B5:B6"/>
    <mergeCell ref="C5:C6"/>
    <mergeCell ref="H5:K5"/>
    <mergeCell ref="H6:K6"/>
    <mergeCell ref="A7:K7"/>
    <mergeCell ref="A8:A9"/>
    <mergeCell ref="B8:B9"/>
    <mergeCell ref="C8:C9"/>
    <mergeCell ref="H8:K9"/>
    <mergeCell ref="A10:K10"/>
    <mergeCell ref="A11:A12"/>
    <mergeCell ref="B11:B12"/>
    <mergeCell ref="C11:C12"/>
    <mergeCell ref="H11:K12"/>
  </mergeCells>
  <phoneticPr fontId="13" type="noConversion"/>
  <printOptions horizontalCentered="1"/>
  <pageMargins left="0.7086111307144165" right="0.7086111307144165" top="0.74791663885116577" bottom="0.74791663885116577" header="0.31486111879348755" footer="0.3148611187934875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A630-D81F-4404-ADF7-04A502C124CC}">
  <dimension ref="A1:J15"/>
  <sheetViews>
    <sheetView tabSelected="1" zoomScaleNormal="75" zoomScaleSheetLayoutView="100" workbookViewId="0">
      <selection activeCell="L11" sqref="L11"/>
    </sheetView>
  </sheetViews>
  <sheetFormatPr defaultColWidth="9" defaultRowHeight="16.5" x14ac:dyDescent="0.3"/>
  <cols>
    <col min="1" max="1" width="5.875" customWidth="1"/>
    <col min="2" max="2" width="19.25" customWidth="1"/>
    <col min="3" max="3" width="17" customWidth="1"/>
    <col min="5" max="5" width="14.625" customWidth="1"/>
    <col min="6" max="6" width="15.5" customWidth="1"/>
    <col min="10" max="10" width="5.375" customWidth="1"/>
  </cols>
  <sheetData>
    <row r="1" spans="1:10" ht="54.75" customHeight="1" x14ac:dyDescent="0.3">
      <c r="B1" s="2" t="s">
        <v>49</v>
      </c>
      <c r="C1" s="2"/>
      <c r="D1" s="2"/>
      <c r="E1" s="2"/>
      <c r="G1" s="75"/>
    </row>
    <row r="2" spans="1:10" ht="24" customHeight="1" x14ac:dyDescent="0.3">
      <c r="A2" s="4"/>
      <c r="B2" s="5" t="s">
        <v>2</v>
      </c>
      <c r="C2" s="5" t="s">
        <v>30</v>
      </c>
      <c r="D2" s="5" t="s">
        <v>24</v>
      </c>
      <c r="E2" s="5" t="s">
        <v>3</v>
      </c>
      <c r="F2" s="5" t="s">
        <v>31</v>
      </c>
      <c r="G2" s="139" t="s">
        <v>26</v>
      </c>
      <c r="H2" s="114"/>
      <c r="I2" s="114"/>
      <c r="J2" s="115"/>
    </row>
    <row r="3" spans="1:10" ht="24.75" customHeight="1" x14ac:dyDescent="0.3">
      <c r="A3" s="85">
        <v>1</v>
      </c>
      <c r="B3" s="85" t="s">
        <v>19</v>
      </c>
      <c r="C3" s="141" t="s">
        <v>90</v>
      </c>
      <c r="D3" s="78" t="s">
        <v>28</v>
      </c>
      <c r="E3" s="79">
        <v>751450</v>
      </c>
      <c r="F3" s="80">
        <f>E3*10*12</f>
        <v>90174000</v>
      </c>
      <c r="G3" s="120" t="s">
        <v>95</v>
      </c>
      <c r="H3" s="121"/>
      <c r="I3" s="121"/>
      <c r="J3" s="122"/>
    </row>
    <row r="4" spans="1:10" ht="24" customHeight="1" x14ac:dyDescent="0.3">
      <c r="A4" s="140"/>
      <c r="B4" s="140"/>
      <c r="C4" s="140"/>
      <c r="D4" s="83" t="s">
        <v>27</v>
      </c>
      <c r="E4" s="81">
        <v>552100</v>
      </c>
      <c r="F4" s="7">
        <f>E4*15*12</f>
        <v>99378000</v>
      </c>
      <c r="G4" s="123"/>
      <c r="H4" s="124"/>
      <c r="I4" s="124"/>
      <c r="J4" s="125"/>
    </row>
    <row r="5" spans="1:10" ht="25.5" customHeight="1" thickBot="1" x14ac:dyDescent="0.35">
      <c r="A5" s="106"/>
      <c r="B5" s="106"/>
      <c r="C5" s="106"/>
      <c r="D5" s="76" t="s">
        <v>91</v>
      </c>
      <c r="E5" s="82">
        <v>452500</v>
      </c>
      <c r="F5" s="7">
        <f>E5*20*12</f>
        <v>108600000</v>
      </c>
      <c r="G5" s="126"/>
      <c r="H5" s="127"/>
      <c r="I5" s="127"/>
      <c r="J5" s="128"/>
    </row>
    <row r="6" spans="1:10" x14ac:dyDescent="0.3">
      <c r="A6" s="94"/>
      <c r="B6" s="94"/>
      <c r="C6" s="94"/>
      <c r="D6" s="94"/>
      <c r="E6" s="94"/>
      <c r="F6" s="94"/>
      <c r="G6" s="94"/>
      <c r="H6" s="94"/>
      <c r="I6" s="94"/>
      <c r="J6" s="95"/>
    </row>
    <row r="7" spans="1:10" ht="33.75" customHeight="1" x14ac:dyDescent="0.3">
      <c r="A7" s="96">
        <v>2</v>
      </c>
      <c r="B7" s="129" t="s">
        <v>92</v>
      </c>
      <c r="C7" s="131" t="s">
        <v>93</v>
      </c>
      <c r="D7" s="11" t="s">
        <v>28</v>
      </c>
      <c r="E7" s="39">
        <v>479710</v>
      </c>
      <c r="F7" s="12">
        <f>E7*10*12</f>
        <v>57565200</v>
      </c>
      <c r="G7" s="133" t="s">
        <v>94</v>
      </c>
      <c r="H7" s="134"/>
      <c r="I7" s="134"/>
      <c r="J7" s="135"/>
    </row>
    <row r="8" spans="1:10" ht="29.25" customHeight="1" x14ac:dyDescent="0.3">
      <c r="A8" s="97"/>
      <c r="B8" s="130"/>
      <c r="C8" s="132"/>
      <c r="D8" s="10" t="s">
        <v>27</v>
      </c>
      <c r="E8" s="40">
        <v>358070</v>
      </c>
      <c r="F8" s="12">
        <f>E8*15*12</f>
        <v>64452600</v>
      </c>
      <c r="G8" s="136"/>
      <c r="H8" s="137"/>
      <c r="I8" s="137"/>
      <c r="J8" s="138"/>
    </row>
    <row r="9" spans="1:10" ht="36" customHeight="1" thickBot="1" x14ac:dyDescent="0.35">
      <c r="A9" s="97"/>
      <c r="B9" s="99"/>
      <c r="C9" s="97"/>
      <c r="D9" s="77" t="s">
        <v>91</v>
      </c>
      <c r="E9" s="40">
        <v>296570</v>
      </c>
      <c r="F9" s="12">
        <f>E9*20*12</f>
        <v>71176800</v>
      </c>
      <c r="G9" s="136"/>
      <c r="H9" s="137"/>
      <c r="I9" s="137"/>
      <c r="J9" s="138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84"/>
    </row>
    <row r="11" spans="1:10" x14ac:dyDescent="0.3">
      <c r="A11" s="3" t="s">
        <v>50</v>
      </c>
      <c r="B11" s="3"/>
      <c r="C11" s="3"/>
      <c r="D11" s="3"/>
      <c r="E11" s="3"/>
    </row>
    <row r="13" spans="1:10" ht="30" customHeight="1" x14ac:dyDescent="0.3">
      <c r="A13" s="158">
        <v>3</v>
      </c>
      <c r="B13" s="159" t="s">
        <v>96</v>
      </c>
      <c r="C13" s="160" t="s">
        <v>90</v>
      </c>
      <c r="D13" s="161" t="s">
        <v>97</v>
      </c>
      <c r="E13" s="162">
        <v>1316450</v>
      </c>
      <c r="F13" s="163">
        <f>E13*10*12</f>
        <v>157974000</v>
      </c>
      <c r="G13" s="164" t="s">
        <v>99</v>
      </c>
      <c r="H13" s="165"/>
      <c r="I13" s="165"/>
      <c r="J13" s="166"/>
    </row>
    <row r="14" spans="1:10" ht="25.5" customHeight="1" x14ac:dyDescent="0.3">
      <c r="A14" s="167"/>
      <c r="B14" s="168"/>
      <c r="C14" s="169"/>
      <c r="D14" s="161" t="s">
        <v>98</v>
      </c>
      <c r="E14" s="162">
        <v>941100</v>
      </c>
      <c r="F14" s="163">
        <f>E14*15*12</f>
        <v>169398000</v>
      </c>
      <c r="G14" s="170"/>
      <c r="H14" s="171"/>
      <c r="I14" s="171"/>
      <c r="J14" s="172"/>
    </row>
    <row r="15" spans="1:10" ht="22.5" customHeight="1" x14ac:dyDescent="0.3">
      <c r="A15" s="173"/>
      <c r="B15" s="174"/>
      <c r="C15" s="175"/>
      <c r="D15" s="161" t="s">
        <v>91</v>
      </c>
      <c r="E15" s="162">
        <v>747500</v>
      </c>
      <c r="F15" s="163">
        <f>E15*20*12</f>
        <v>179400000</v>
      </c>
      <c r="G15" s="176"/>
      <c r="H15" s="177"/>
      <c r="I15" s="177"/>
      <c r="J15" s="178"/>
    </row>
  </sheetData>
  <mergeCells count="15">
    <mergeCell ref="A13:A15"/>
    <mergeCell ref="B13:B15"/>
    <mergeCell ref="C13:C15"/>
    <mergeCell ref="G13:J15"/>
    <mergeCell ref="A10:J10"/>
    <mergeCell ref="G2:J2"/>
    <mergeCell ref="A3:A5"/>
    <mergeCell ref="B3:B5"/>
    <mergeCell ref="C3:C5"/>
    <mergeCell ref="G3:J5"/>
    <mergeCell ref="A6:J6"/>
    <mergeCell ref="A7:A9"/>
    <mergeCell ref="B7:B9"/>
    <mergeCell ref="C7:C9"/>
    <mergeCell ref="G7:J9"/>
  </mergeCells>
  <phoneticPr fontId="13" type="noConversion"/>
  <printOptions horizontalCentered="1"/>
  <pageMargins left="0.7086111307144165" right="0.7086111307144165" top="0.74791663885116577" bottom="0.74791663885116577" header="0.31486111879348755" footer="0.3148611187934875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6"/>
  <sheetViews>
    <sheetView zoomScaleNormal="75" zoomScaleSheetLayoutView="100" workbookViewId="0">
      <selection activeCell="D17" sqref="D17"/>
    </sheetView>
  </sheetViews>
  <sheetFormatPr defaultColWidth="9" defaultRowHeight="16.5" x14ac:dyDescent="0.3"/>
  <cols>
    <col min="1" max="1" width="17.5" customWidth="1"/>
    <col min="2" max="2" width="10.75" customWidth="1"/>
    <col min="3" max="3" width="19.125" customWidth="1"/>
    <col min="4" max="4" width="15.125" customWidth="1"/>
    <col min="5" max="5" width="18.875" customWidth="1"/>
    <col min="6" max="6" width="13.75" customWidth="1"/>
    <col min="7" max="7" width="18.875" customWidth="1"/>
  </cols>
  <sheetData>
    <row r="1" spans="1:7" ht="21.75" customHeight="1" x14ac:dyDescent="0.3">
      <c r="A1" s="68" t="s">
        <v>4</v>
      </c>
      <c r="B1" s="67" t="s">
        <v>6</v>
      </c>
      <c r="C1" s="68" t="s">
        <v>2</v>
      </c>
      <c r="D1" s="68" t="s">
        <v>8</v>
      </c>
      <c r="E1" s="68" t="s">
        <v>7</v>
      </c>
      <c r="F1" s="68" t="s">
        <v>3</v>
      </c>
      <c r="G1" s="68"/>
    </row>
    <row r="2" spans="1:7" x14ac:dyDescent="0.3">
      <c r="A2" s="55" t="s">
        <v>22</v>
      </c>
      <c r="B2" s="56" t="s">
        <v>22</v>
      </c>
      <c r="C2" s="55" t="s">
        <v>15</v>
      </c>
      <c r="D2" s="57" t="s">
        <v>40</v>
      </c>
      <c r="E2" s="57" t="s">
        <v>63</v>
      </c>
      <c r="F2" s="55">
        <v>1758240</v>
      </c>
      <c r="G2" s="55"/>
    </row>
    <row r="3" spans="1:7" x14ac:dyDescent="0.3">
      <c r="A3" s="55" t="s">
        <v>22</v>
      </c>
      <c r="B3" s="56" t="s">
        <v>22</v>
      </c>
      <c r="C3" s="55" t="s">
        <v>59</v>
      </c>
      <c r="D3" s="57">
        <v>4500</v>
      </c>
      <c r="E3" s="57"/>
      <c r="F3" s="55"/>
      <c r="G3" s="55"/>
    </row>
    <row r="4" spans="1:7" x14ac:dyDescent="0.3">
      <c r="A4" s="55" t="s">
        <v>48</v>
      </c>
      <c r="B4" s="58" t="s">
        <v>22</v>
      </c>
      <c r="C4" s="55" t="s">
        <v>0</v>
      </c>
      <c r="D4" s="59">
        <v>3000</v>
      </c>
      <c r="E4" s="59" t="s">
        <v>23</v>
      </c>
      <c r="F4" s="55">
        <v>81750</v>
      </c>
      <c r="G4" s="55"/>
    </row>
    <row r="5" spans="1:7" x14ac:dyDescent="0.3">
      <c r="A5" s="55"/>
      <c r="B5" s="56"/>
      <c r="C5" s="55"/>
      <c r="D5" s="57"/>
      <c r="E5" s="57"/>
      <c r="F5" s="55"/>
      <c r="G5" s="55"/>
    </row>
    <row r="6" spans="1:7" ht="33" x14ac:dyDescent="0.3">
      <c r="A6" s="60" t="s">
        <v>10</v>
      </c>
      <c r="B6" s="61" t="s">
        <v>22</v>
      </c>
      <c r="C6" s="60" t="s">
        <v>39</v>
      </c>
      <c r="D6" s="70" t="s">
        <v>67</v>
      </c>
      <c r="E6" s="62" t="s">
        <v>60</v>
      </c>
      <c r="F6" s="63">
        <v>289120</v>
      </c>
      <c r="G6" s="142" t="s">
        <v>65</v>
      </c>
    </row>
    <row r="7" spans="1:7" ht="33" x14ac:dyDescent="0.3">
      <c r="A7" s="60" t="s">
        <v>10</v>
      </c>
      <c r="B7" s="61" t="s">
        <v>22</v>
      </c>
      <c r="C7" s="60" t="s">
        <v>39</v>
      </c>
      <c r="D7" s="70" t="s">
        <v>68</v>
      </c>
      <c r="E7" s="62" t="s">
        <v>60</v>
      </c>
      <c r="F7" s="63">
        <v>271080</v>
      </c>
      <c r="G7" s="142"/>
    </row>
    <row r="8" spans="1:7" ht="36.75" customHeight="1" x14ac:dyDescent="0.3">
      <c r="A8" s="64" t="s">
        <v>51</v>
      </c>
      <c r="B8" s="61" t="s">
        <v>22</v>
      </c>
      <c r="C8" s="60" t="s">
        <v>9</v>
      </c>
      <c r="D8" s="70" t="s">
        <v>69</v>
      </c>
      <c r="E8" s="62" t="s">
        <v>62</v>
      </c>
      <c r="F8" s="63">
        <v>266310</v>
      </c>
      <c r="G8" s="142"/>
    </row>
    <row r="9" spans="1:7" x14ac:dyDescent="0.3">
      <c r="A9" s="143"/>
      <c r="B9" s="144"/>
      <c r="C9" s="144"/>
      <c r="D9" s="144"/>
      <c r="E9" s="144"/>
      <c r="F9" s="144"/>
      <c r="G9" s="145"/>
    </row>
    <row r="10" spans="1:7" x14ac:dyDescent="0.3">
      <c r="A10" s="146"/>
      <c r="B10" s="147"/>
      <c r="C10" s="147"/>
      <c r="D10" s="147"/>
      <c r="E10" s="147"/>
      <c r="F10" s="147"/>
      <c r="G10" s="148"/>
    </row>
    <row r="11" spans="1:7" ht="20.25" customHeight="1" x14ac:dyDescent="0.3">
      <c r="A11" s="55" t="s">
        <v>48</v>
      </c>
      <c r="B11" s="58" t="s">
        <v>48</v>
      </c>
      <c r="C11" s="55" t="s">
        <v>0</v>
      </c>
      <c r="D11" s="55">
        <v>3000</v>
      </c>
      <c r="E11" s="59" t="s">
        <v>23</v>
      </c>
      <c r="F11" s="55"/>
      <c r="G11" s="55"/>
    </row>
    <row r="12" spans="1:7" ht="33" x14ac:dyDescent="0.3">
      <c r="A12" s="55" t="s">
        <v>48</v>
      </c>
      <c r="B12" s="58" t="s">
        <v>48</v>
      </c>
      <c r="C12" s="55" t="s">
        <v>9</v>
      </c>
      <c r="D12" s="71" t="s">
        <v>70</v>
      </c>
      <c r="E12" s="57" t="s">
        <v>61</v>
      </c>
      <c r="F12" s="55"/>
      <c r="G12" s="55"/>
    </row>
    <row r="13" spans="1:7" ht="33" x14ac:dyDescent="0.3">
      <c r="A13" s="65" t="s">
        <v>10</v>
      </c>
      <c r="B13" s="61" t="s">
        <v>48</v>
      </c>
      <c r="C13" s="60" t="s">
        <v>64</v>
      </c>
      <c r="D13" s="60">
        <v>2000</v>
      </c>
      <c r="E13" s="66" t="s">
        <v>12</v>
      </c>
      <c r="F13" s="64" t="s">
        <v>58</v>
      </c>
      <c r="G13" s="60" t="s">
        <v>65</v>
      </c>
    </row>
    <row r="14" spans="1:7" x14ac:dyDescent="0.3">
      <c r="A14" s="55"/>
      <c r="B14" s="55"/>
      <c r="C14" s="55"/>
      <c r="D14" s="55"/>
      <c r="E14" s="55"/>
      <c r="F14" s="55"/>
      <c r="G14" s="55"/>
    </row>
    <row r="16" spans="1:7" x14ac:dyDescent="0.3">
      <c r="A16" s="69" t="s">
        <v>66</v>
      </c>
    </row>
  </sheetData>
  <mergeCells count="2">
    <mergeCell ref="G6:G8"/>
    <mergeCell ref="A9:G10"/>
  </mergeCells>
  <phoneticPr fontId="1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5"/>
  <sheetViews>
    <sheetView zoomScaleNormal="75" zoomScaleSheetLayoutView="100" workbookViewId="0">
      <selection activeCell="F16" sqref="F16"/>
    </sheetView>
  </sheetViews>
  <sheetFormatPr defaultColWidth="9" defaultRowHeight="16.5" x14ac:dyDescent="0.3"/>
  <cols>
    <col min="1" max="1" width="14.375" customWidth="1"/>
    <col min="2" max="2" width="10.125" customWidth="1"/>
    <col min="3" max="3" width="9.25" bestFit="1" customWidth="1"/>
    <col min="4" max="4" width="12.375" customWidth="1"/>
    <col min="5" max="5" width="13.125" customWidth="1"/>
    <col min="6" max="6" width="15.25" customWidth="1"/>
    <col min="7" max="7" width="12.375" customWidth="1"/>
    <col min="8" max="8" width="13.375" customWidth="1"/>
    <col min="9" max="9" width="13.5" customWidth="1"/>
    <col min="10" max="10" width="8.125" customWidth="1"/>
  </cols>
  <sheetData>
    <row r="1" spans="1:10" ht="23.25" x14ac:dyDescent="0.3">
      <c r="A1" s="149" t="s">
        <v>11</v>
      </c>
      <c r="B1" s="150"/>
      <c r="C1" s="150"/>
      <c r="D1" s="150"/>
      <c r="E1" s="150"/>
      <c r="F1" s="150"/>
      <c r="G1" s="150"/>
      <c r="H1" s="150"/>
      <c r="I1" s="150"/>
      <c r="J1" s="13"/>
    </row>
    <row r="2" spans="1:10" x14ac:dyDescent="0.3">
      <c r="A2" s="14" t="s">
        <v>18</v>
      </c>
      <c r="B2" s="15"/>
      <c r="C2" s="15"/>
      <c r="D2" s="15"/>
      <c r="E2" s="15"/>
      <c r="F2" s="13"/>
      <c r="G2" s="16"/>
      <c r="H2" s="15"/>
      <c r="I2" s="17">
        <v>43151</v>
      </c>
      <c r="J2" s="13"/>
    </row>
    <row r="3" spans="1:10" x14ac:dyDescent="0.3">
      <c r="A3" s="18" t="s">
        <v>2</v>
      </c>
      <c r="B3" s="19" t="s">
        <v>16</v>
      </c>
      <c r="C3" s="20"/>
      <c r="D3" s="20"/>
      <c r="E3" s="21"/>
      <c r="F3" s="13"/>
      <c r="G3" s="16"/>
      <c r="H3" s="15"/>
      <c r="I3" s="13"/>
      <c r="J3" s="13"/>
    </row>
    <row r="4" spans="1:10" x14ac:dyDescent="0.3">
      <c r="A4" s="22"/>
      <c r="B4" s="23" t="s">
        <v>45</v>
      </c>
      <c r="C4" s="24"/>
      <c r="D4" s="24"/>
      <c r="E4" s="21"/>
      <c r="F4" s="13"/>
      <c r="G4" s="15"/>
      <c r="H4" s="15"/>
      <c r="I4" s="13"/>
      <c r="J4" s="13"/>
    </row>
    <row r="5" spans="1:10" x14ac:dyDescent="0.2">
      <c r="A5" s="22"/>
      <c r="B5" s="23" t="s">
        <v>43</v>
      </c>
      <c r="C5" s="25"/>
      <c r="D5" s="24"/>
      <c r="E5" s="21"/>
      <c r="F5" s="13"/>
      <c r="G5" s="15"/>
      <c r="H5" s="15"/>
      <c r="I5" s="13"/>
      <c r="J5" s="13"/>
    </row>
    <row r="6" spans="1:10" x14ac:dyDescent="0.3">
      <c r="A6" s="22"/>
      <c r="B6" s="23" t="s">
        <v>42</v>
      </c>
      <c r="C6" s="24"/>
      <c r="D6" s="24"/>
      <c r="E6" s="21"/>
      <c r="F6" s="13"/>
      <c r="G6" s="15"/>
      <c r="H6" s="15"/>
      <c r="I6" s="13"/>
      <c r="J6" s="13"/>
    </row>
    <row r="7" spans="1:10" x14ac:dyDescent="0.3">
      <c r="A7" s="22"/>
      <c r="B7" s="26" t="s">
        <v>41</v>
      </c>
      <c r="C7" s="24"/>
      <c r="D7" s="24"/>
      <c r="E7" s="21"/>
      <c r="F7" s="13"/>
      <c r="G7" s="15"/>
      <c r="H7" s="15"/>
      <c r="I7" s="13"/>
      <c r="J7" s="13"/>
    </row>
    <row r="8" spans="1:10" x14ac:dyDescent="0.3">
      <c r="A8" s="13"/>
      <c r="B8" s="15"/>
      <c r="C8" s="15"/>
      <c r="D8" s="15"/>
      <c r="E8" s="21"/>
      <c r="F8" s="13"/>
      <c r="G8" s="15"/>
      <c r="H8" s="15"/>
      <c r="I8" s="13"/>
      <c r="J8" s="13"/>
    </row>
    <row r="9" spans="1:10" ht="28.5" x14ac:dyDescent="0.3">
      <c r="A9" s="27" t="s">
        <v>35</v>
      </c>
      <c r="B9" s="28" t="s">
        <v>21</v>
      </c>
      <c r="C9" s="29" t="s">
        <v>25</v>
      </c>
      <c r="D9" s="29" t="s">
        <v>33</v>
      </c>
      <c r="E9" s="30" t="s">
        <v>47</v>
      </c>
      <c r="F9" s="27" t="s">
        <v>20</v>
      </c>
      <c r="G9" s="31" t="s">
        <v>36</v>
      </c>
      <c r="H9" s="29" t="s">
        <v>34</v>
      </c>
      <c r="I9" s="32" t="s">
        <v>37</v>
      </c>
      <c r="J9" s="13"/>
    </row>
    <row r="10" spans="1:10" x14ac:dyDescent="0.3">
      <c r="A10" s="151">
        <v>100000000</v>
      </c>
      <c r="B10" s="151">
        <v>10</v>
      </c>
      <c r="C10" s="151">
        <v>607000</v>
      </c>
      <c r="D10" s="151">
        <f>C10*12*B10</f>
        <v>72840000</v>
      </c>
      <c r="E10" s="34">
        <v>69740000</v>
      </c>
      <c r="F10" s="151">
        <f>A10*10%</f>
        <v>10000000</v>
      </c>
      <c r="G10" s="34">
        <f>E10+F10</f>
        <v>79740000</v>
      </c>
      <c r="H10" s="33">
        <f>G10-D10</f>
        <v>6900000</v>
      </c>
      <c r="I10" s="35">
        <f>G10/(D10/1)</f>
        <v>1.0947281713344317</v>
      </c>
      <c r="J10" s="13" t="s">
        <v>29</v>
      </c>
    </row>
    <row r="11" spans="1:10" x14ac:dyDescent="0.3">
      <c r="A11" s="152"/>
      <c r="B11" s="152"/>
      <c r="C11" s="152"/>
      <c r="D11" s="152"/>
      <c r="E11" s="34">
        <v>71710000</v>
      </c>
      <c r="F11" s="152"/>
      <c r="G11" s="34">
        <f>E11+F10</f>
        <v>81710000</v>
      </c>
      <c r="H11" s="33">
        <f>G11-D10</f>
        <v>8870000</v>
      </c>
      <c r="I11" s="35">
        <f>G11/(D10/1)</f>
        <v>1.121773750686436</v>
      </c>
      <c r="J11" s="13" t="s">
        <v>38</v>
      </c>
    </row>
    <row r="12" spans="1:10" x14ac:dyDescent="0.3">
      <c r="A12" s="36"/>
      <c r="B12" s="36"/>
      <c r="C12" s="36"/>
      <c r="D12" s="36"/>
      <c r="E12" s="36"/>
      <c r="F12" s="36"/>
      <c r="G12" s="36"/>
      <c r="H12" s="36"/>
      <c r="I12" s="37"/>
      <c r="J12" s="13"/>
    </row>
    <row r="13" spans="1:10" x14ac:dyDescent="0.3">
      <c r="A13" s="38" t="s">
        <v>55</v>
      </c>
      <c r="B13" s="36"/>
      <c r="C13" s="36"/>
      <c r="D13" s="36"/>
      <c r="E13" s="36"/>
      <c r="F13" s="36"/>
      <c r="G13" s="36"/>
      <c r="H13" s="36"/>
      <c r="I13" s="37"/>
      <c r="J13" s="13"/>
    </row>
    <row r="14" spans="1:10" x14ac:dyDescent="0.3">
      <c r="A14" s="38" t="s">
        <v>54</v>
      </c>
      <c r="B14" s="36"/>
      <c r="C14" s="36"/>
      <c r="D14" s="36"/>
      <c r="E14" s="36"/>
      <c r="F14" s="36"/>
      <c r="G14" s="36"/>
      <c r="H14" s="36"/>
      <c r="I14" s="37"/>
      <c r="J14" s="13"/>
    </row>
    <row r="15" spans="1:10" x14ac:dyDescent="0.3">
      <c r="A15" s="38" t="s">
        <v>52</v>
      </c>
      <c r="B15" s="36"/>
      <c r="C15" s="36"/>
      <c r="D15" s="36"/>
      <c r="E15" s="36"/>
      <c r="F15" s="36"/>
      <c r="G15" s="36"/>
      <c r="H15" s="36"/>
      <c r="I15" s="37"/>
      <c r="J15" s="13"/>
    </row>
  </sheetData>
  <mergeCells count="6">
    <mergeCell ref="A1:I1"/>
    <mergeCell ref="A10:A11"/>
    <mergeCell ref="B10:B11"/>
    <mergeCell ref="C10:C11"/>
    <mergeCell ref="D10:D11"/>
    <mergeCell ref="F10:F11"/>
  </mergeCells>
  <phoneticPr fontId="13" type="noConversion"/>
  <pageMargins left="0.51180553436279297" right="0.51180553436279297" top="0.74791663885116577" bottom="0.74791663885116577" header="0.31486111879348755" footer="0.3148611187934875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3E80-9CF8-4467-8306-78814DC7ABFB}">
  <dimension ref="A2:G9"/>
  <sheetViews>
    <sheetView workbookViewId="0">
      <selection activeCell="M14" sqref="M14"/>
    </sheetView>
  </sheetViews>
  <sheetFormatPr defaultRowHeight="16.5" x14ac:dyDescent="0.3"/>
  <cols>
    <col min="4" max="4" width="29.375" customWidth="1"/>
    <col min="5" max="5" width="16.125" customWidth="1"/>
    <col min="6" max="6" width="11.75" customWidth="1"/>
    <col min="7" max="7" width="15.625" customWidth="1"/>
  </cols>
  <sheetData>
    <row r="2" spans="1:7" x14ac:dyDescent="0.3">
      <c r="A2" s="72"/>
      <c r="B2" s="72" t="s">
        <v>71</v>
      </c>
      <c r="C2" s="72"/>
      <c r="D2" s="72"/>
      <c r="E2" s="72" t="s">
        <v>72</v>
      </c>
      <c r="F2" s="72" t="s">
        <v>73</v>
      </c>
      <c r="G2" s="72" t="s">
        <v>74</v>
      </c>
    </row>
    <row r="3" spans="1:7" ht="33" x14ac:dyDescent="0.3">
      <c r="A3" s="72">
        <v>1</v>
      </c>
      <c r="B3" s="156" t="s">
        <v>75</v>
      </c>
      <c r="C3" s="156"/>
      <c r="D3" s="156"/>
      <c r="E3" s="72" t="s">
        <v>76</v>
      </c>
      <c r="F3" s="72"/>
      <c r="G3" s="73" t="s">
        <v>77</v>
      </c>
    </row>
    <row r="4" spans="1:7" ht="33" x14ac:dyDescent="0.3">
      <c r="A4" s="72">
        <v>2</v>
      </c>
      <c r="B4" s="156" t="s">
        <v>78</v>
      </c>
      <c r="C4" s="156"/>
      <c r="D4" s="156"/>
      <c r="E4" s="72" t="s">
        <v>79</v>
      </c>
      <c r="F4" s="72"/>
      <c r="G4" s="73" t="s">
        <v>80</v>
      </c>
    </row>
    <row r="5" spans="1:7" ht="33" x14ac:dyDescent="0.3">
      <c r="A5" s="72">
        <v>3</v>
      </c>
      <c r="B5" s="156" t="s">
        <v>81</v>
      </c>
      <c r="C5" s="156"/>
      <c r="D5" s="156"/>
      <c r="E5" s="73" t="s">
        <v>82</v>
      </c>
      <c r="F5" s="72" t="s">
        <v>83</v>
      </c>
      <c r="G5" s="72"/>
    </row>
    <row r="6" spans="1:7" ht="33" x14ac:dyDescent="0.3">
      <c r="A6" s="72">
        <v>4</v>
      </c>
      <c r="B6" s="156" t="s">
        <v>84</v>
      </c>
      <c r="C6" s="156"/>
      <c r="D6" s="156"/>
      <c r="E6" s="73" t="s">
        <v>82</v>
      </c>
      <c r="F6" s="72" t="s">
        <v>85</v>
      </c>
      <c r="G6" s="72"/>
    </row>
    <row r="7" spans="1:7" ht="27.75" customHeight="1" x14ac:dyDescent="0.3">
      <c r="A7" s="72">
        <v>5</v>
      </c>
      <c r="B7" s="157" t="s">
        <v>86</v>
      </c>
      <c r="C7" s="157"/>
      <c r="D7" s="157"/>
      <c r="E7" s="72" t="s">
        <v>87</v>
      </c>
      <c r="F7" s="72"/>
      <c r="G7" s="72"/>
    </row>
    <row r="8" spans="1:7" ht="24" customHeight="1" x14ac:dyDescent="0.3">
      <c r="A8" s="72">
        <v>6</v>
      </c>
      <c r="B8" s="72" t="s">
        <v>88</v>
      </c>
      <c r="C8" s="72"/>
      <c r="D8" s="72"/>
      <c r="E8" s="72"/>
      <c r="F8" s="72"/>
      <c r="G8" s="72"/>
    </row>
    <row r="9" spans="1:7" ht="28.5" customHeight="1" x14ac:dyDescent="0.3">
      <c r="A9" s="72">
        <v>7</v>
      </c>
      <c r="B9" s="153" t="s">
        <v>89</v>
      </c>
      <c r="C9" s="154"/>
      <c r="D9" s="155"/>
      <c r="E9" s="72"/>
      <c r="F9" s="72"/>
      <c r="G9" s="72"/>
    </row>
  </sheetData>
  <mergeCells count="6">
    <mergeCell ref="B9:D9"/>
    <mergeCell ref="B3:D3"/>
    <mergeCell ref="B4:D4"/>
    <mergeCell ref="B5:D5"/>
    <mergeCell ref="B6:D6"/>
    <mergeCell ref="B7:D7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종신보험제안</vt:lpstr>
      <vt:lpstr>종신보험제안 (3)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user</cp:lastModifiedBy>
  <cp:revision>5</cp:revision>
  <cp:lastPrinted>2025-05-21T01:48:15Z</cp:lastPrinted>
  <dcterms:created xsi:type="dcterms:W3CDTF">2008-12-06T08:22:15Z</dcterms:created>
  <dcterms:modified xsi:type="dcterms:W3CDTF">2025-05-21T13:12:40Z</dcterms:modified>
  <cp:version>1300.0100.01</cp:version>
</cp:coreProperties>
</file>