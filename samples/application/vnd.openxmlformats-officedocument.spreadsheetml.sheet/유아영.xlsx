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ome\Desktop\"/>
    </mc:Choice>
  </mc:AlternateContent>
  <x:bookViews>
    <x:workbookView xWindow="0" yWindow="0" windowWidth="19695" windowHeight="10200" activeTab="3"/>
  </x:bookViews>
  <x:sheets>
    <x:sheet name="Chart1" sheetId="1" r:id="rId4"/>
    <x:sheet name="Chart2" sheetId="2" r:id="rId5"/>
    <x:sheet name="Sheet1" sheetId="3" r:id="rId6"/>
    <x:sheet name="Sheet2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<x:sst xmlns:r="http://schemas.openxmlformats.org/officeDocument/2006/relationships" xmlns:c="http://schemas.openxmlformats.org/drawingml/2006/chart" xmlns:x="http://schemas.openxmlformats.org/spreadsheetml/2006/main" count="6" uniqueCount="6">
  <x:si>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화실회비</x:t>
  </x:si>
  <x:si>
    <x:t>4월급여</x:t>
  </x:si>
  <x:si>
    <x:t>파라다이스</x:t>
  </x:si>
  <x:si>
    <x:t>태성목재</x:t>
  </x:si>
  <x:si>
    <x:t>작업실</x:t>
  </x:si>
  <x:si>
    <x:t>진열장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</x:si>
</x:sst>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0" fillId="0" borderId="0">
      <x:alignment horizontal="general" vertical="center"/>
    </x:xf>
  </x:cellStyleXfs>
  <x:cellXfs count="8">
    <x:xf numFmtId="0" fontId="0" fillId="0" borderId="0" xfId="2">
      <x:alignment horizontal="general" vertical="center"/>
    </x:xf>
    <x:xf numFmtId="10" fontId="0" fillId="0" borderId="0" xfId="0" applyNumberFormat="1">
      <x:alignment horizontal="general" vertical="center"/>
    </x:xf>
    <x:xf numFmtId="9" fontId="0" fillId="0" borderId="0" xfId="0" applyNumberFormat="1">
      <x:alignment horizontal="general" vertical="center"/>
    </x:xf>
    <x:xf numFmtId="41" fontId="6" fillId="0" borderId="0" xfId="1" applyFont="1">
      <x:alignment horizontal="general" vertical="center"/>
    </x:xf>
    <x:xf numFmtId="41" fontId="0" fillId="0" borderId="0" xfId="1" applyFont="1">
      <x:alignment horizontal="general" vertical="center"/>
    </x:xf>
    <x:xf numFmtId="41" fontId="0" fillId="0" borderId="0" xfId="0" applyNumberFormat="1">
      <x:alignment horizontal="general" vertical="center"/>
    </x:xf>
    <x:xf numFmtId="41" fontId="0" fillId="0" borderId="0" xfId="2" applyNumberForma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3">
    <x:cellStyle name="표준" xfId="0" builtinId="0"/>
    <x:cellStyle name="쉼표 [0]" xfId="1" builtinId="6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chartsheet" Target="chartsheets/sheet1.xml"  /><Relationship Id="rId5" Type="http://schemas.openxmlformats.org/officeDocument/2006/relationships/chartsheet" Target="chartsheets/sheet2.xml"  /><Relationship Id="rId6" Type="http://schemas.openxmlformats.org/officeDocument/2006/relationships/worksheet" Target="worksheets/sheet1.xml"  /><Relationship Id="rId7" Type="http://schemas.openxmlformats.org/officeDocument/2006/relationships/worksheet" Target="worksheets/sheet2.xml"  /></Relationships>
</file>

<file path=xl/charts/chart2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</c:f>
              <c:numCache>
                <c:formatCode>General</c:formatCode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1069326111"/>
        <c:axId val="1069330431"/>
      </c:barChart>
      <c:catAx>
        <c:axId val="1069326111"/>
        <c:scaling>
          <c:orientation val="minMax"/>
        </c:scaling>
        <c:axPos val="b"/>
        <c:crossAx val="1069330431"/>
        <c:delete val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1069330431"/>
        <c:scaling>
          <c:orientation val="minMax"/>
        </c:scaling>
        <c:axPos val="l"/>
        <c:crossAx val="1069326111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</c:f>
              <c:numCache>
                <c:formatCode>General</c:formatCode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1194087423"/>
        <c:axId val="1194089823"/>
      </c:barChart>
      <c:catAx>
        <c:axId val="1194087423"/>
        <c:scaling>
          <c:orientation val="minMax"/>
        </c:scaling>
        <c:axPos val="b"/>
        <c:crossAx val="1194089823"/>
        <c:delete val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1194089823"/>
        <c:scaling>
          <c:orientation val="minMax"/>
        </c:scaling>
        <c:axPos val="l"/>
        <c:crossAx val="1194087423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chart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chart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chartsheets/sheet1.xml><?xml version="1.0" encoding="utf-8"?>
<x:chartsheet xmlns:r="http://schemas.openxmlformats.org/officeDocument/2006/relationships" xmlns:c="http://schemas.openxmlformats.org/drawingml/2006/chart" xmlns:x="http://schemas.openxmlformats.org/spreadsheetml/2006/main">
  <x:sheetPr published="1" codeName="Sheet1"/>
  <x:sheetViews>
    <x:sheetView zoomScale="111" workbookViewId="0"/>
  </x:sheetViews>
  <x:pageMargins left="0.69999998807907104492" right="0.69999998807907104492" top="0.75" bottom="0.75" header="0.30000001192092895508" footer="0.30000001192092895508"/>
  <x:pageSetup paperSize="9" firstPageNumber="1" orientation="landscape" usePrinterDefaults="1" blackAndWhite="0" draft="0" useFirstPageNumber="0" horizontalDpi="0" verticalDpi="0" copies="1"/>
  <x:headerFooter differentOddEven="0" differentFirst="0" scaleWithDoc="1" alignWithMargins="1"/>
  <x:drawing r:id="rId1"/>
</x:chartsheet>
</file>

<file path=xl/chartsheets/sheet2.xml><?xml version="1.0" encoding="utf-8"?>
<x:chartsheet xmlns:r="http://schemas.openxmlformats.org/officeDocument/2006/relationships" xmlns:c="http://schemas.openxmlformats.org/drawingml/2006/chart" xmlns:x="http://schemas.openxmlformats.org/spreadsheetml/2006/main">
  <x:sheetPr published="1" codeName="Sheet2"/>
  <x:sheetViews>
    <x:sheetView zoomScale="111" workbookViewId="0"/>
  </x:sheetViews>
  <x:pageMargins left="0.69999998807907104492" right="0.69999998807907104492" top="0.75" bottom="0.75" header="0.30000001192092895508" footer="0.30000001192092895508"/>
  <x:pageSetup paperSize="9" firstPageNumber="1" orientation="landscape" usePrinterDefaults="1" blackAndWhite="0" draft="0" useFirstPageNumber="0" horizontalDpi="0" verticalDpi="0" copies="1"/>
  <x:headerFooter differentOddEven="0" differentFirst="0" scaleWithDoc="1" alignWithMargins="1"/>
  <x:drawing r:id="rId1"/>
</x:chartsheet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chart" Target="../charts/chart2.xml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chart" Target="../charts/chart3.xml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absoluteAnchor>
    <xdr:pos x="0" y="0"/>
    <xdr:ext cx="9296400" cy="6067425"/>
    <xdr:graphicFrame fPublished="0">
      <xdr:nvGraphicFramePr>
        <xdr:cNvPr id="2" name="차트 1"/>
        <xdr:cNvGraphicFramePr/>
      </xdr:nvGraphicFramePr>
      <xdr:xfrm>
        <a:off x="0" y="0"/>
        <a:ext cx="10334625" cy="6619874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absoluteAnchor>
</xdr:wsDr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absoluteAnchor>
    <xdr:pos x="0" y="0"/>
    <xdr:ext cx="9296400" cy="6067425"/>
    <xdr:graphicFrame fPublished="0">
      <xdr:nvGraphicFramePr>
        <xdr:cNvPr id="2" name="차트 1"/>
        <xdr:cNvGraphicFramePr/>
      </xdr:nvGraphicFramePr>
      <xdr:xfrm>
        <a:off x="0" y="0"/>
        <a:ext cx="10334625" cy="6619874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absolute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2:F23"/>
  <x:sheetViews>
    <x:sheetView topLeftCell="A1" zoomScaleNormal="75" zoomScaleSheetLayoutView="100" workbookViewId="0">
      <x:selection activeCell="C28" activeCellId="0" sqref="C28:C28"/>
    </x:sheetView>
  </x:sheetViews>
  <x:sheetFormatPr defaultColWidth="9.00390625" defaultRowHeight="16.39999999999999857891"/>
  <x:cols>
    <x:col min="1" max="1" width="9.5" bestFit="1" customWidth="1"/>
    <x:col min="2" max="2" width="12.375" bestFit="1" customWidth="1"/>
    <x:col min="3" max="3" width="10.875" bestFit="1" customWidth="1"/>
  </x:cols>
  <x:sheetData>
    <x:row r="2" spans="1:2">
      <x:c r="A2">
        <x:v>5</x:v>
      </x:c>
      <x:c r="B2">
        <x:v>1053150</x:v>
      </x:c>
    </x:row>
    <x:row r="3" spans="1:2">
      <x:c r="A3">
        <x:v>6</x:v>
      </x:c>
      <x:c r="B3">
        <x:v>204350</x:v>
      </x:c>
    </x:row>
    <x:row r="4" spans="1:6">
      <x:c r="A4">
        <x:v>7</x:v>
      </x:c>
      <x:c r="B4">
        <x:v>204350</x:v>
      </x:c>
      <x:c r="C4">
        <x:v>20210624</x:v>
      </x:c>
      <x:c r="D4">
        <x:v>41</x:v>
      </x:c>
      <x:c r="E4">
        <x:v>41</x:v>
      </x:c>
      <x:c r="F4" s="1">
        <x:v>0.68300000000000005</x:v>
      </x:c>
    </x:row>
    <x:row r="5" spans="1:5">
      <x:c r="A5">
        <x:v>8</x:v>
      </x:c>
      <x:c r="B5">
        <x:v>204350</x:v>
      </x:c>
      <x:c r="C5">
        <x:v>20260924</x:v>
      </x:c>
      <x:c r="D5">
        <x:v>60</x:v>
      </x:c>
      <x:c r="E5">
        <x:v>42</x:v>
      </x:c>
    </x:row>
    <x:row r="6" spans="1:5">
      <x:c r="A6">
        <x:v>9</x:v>
      </x:c>
      <x:c r="B6">
        <x:v>214670</x:v>
      </x:c>
      <x:c r="D6">
        <x:f>D5-D4</x:f>
        <x:v>19</x:v>
      </x:c>
      <x:c r="E6">
        <x:v>43</x:v>
      </x:c>
    </x:row>
    <x:row r="7" spans="1:5">
      <x:c r="A7">
        <x:v>10</x:v>
      </x:c>
      <x:c r="B7">
        <x:v>214670</x:v>
      </x:c>
      <x:c r="E7">
        <x:v>44</x:v>
      </x:c>
    </x:row>
    <x:row r="8" spans="1:6">
      <x:c r="A8">
        <x:v>11</x:v>
      </x:c>
      <x:c r="B8">
        <x:v>206320</x:v>
      </x:c>
      <x:c r="E8">
        <x:v>45</x:v>
      </x:c>
      <x:c r="F8" s="2">
        <x:v>0.69999999999999996</x:v>
      </x:c>
    </x:row>
    <x:row r="9" spans="1:5">
      <x:c r="A9">
        <x:v>12</x:v>
      </x:c>
      <x:c r="B9">
        <x:v>212410</x:v>
      </x:c>
      <x:c r="E9">
        <x:v>46</x:v>
      </x:c>
    </x:row>
    <x:row r="10" spans="1:5">
      <x:c r="A10">
        <x:v>1</x:v>
      </x:c>
      <x:c r="B10">
        <x:v>212950</x:v>
      </x:c>
      <x:c r="E10">
        <x:v>47</x:v>
      </x:c>
    </x:row>
    <x:row r="11" spans="1:5">
      <x:c r="A11">
        <x:v>2</x:v>
      </x:c>
      <x:c r="B11">
        <x:v>214930</x:v>
      </x:c>
      <x:c r="E11">
        <x:v>48</x:v>
      </x:c>
    </x:row>
    <x:row r="12" spans="1:5">
      <x:c r="A12">
        <x:v>3</x:v>
      </x:c>
      <x:c r="B12">
        <x:v>219630</x:v>
      </x:c>
      <x:c r="E12">
        <x:v>49</x:v>
      </x:c>
    </x:row>
    <x:row r="13" spans="1:6">
      <x:c r="A13">
        <x:v>4</x:v>
      </x:c>
      <x:c r="B13">
        <x:v>217020</x:v>
      </x:c>
      <x:c r="E13">
        <x:v>50</x:v>
      </x:c>
      <x:c r="F13" s="2">
        <x:v>0.80000000000000004</x:v>
      </x:c>
    </x:row>
    <x:row r="14" spans="1:5">
      <x:c r="A14">
        <x:v>5</x:v>
      </x:c>
      <x:c r="B14">
        <x:v>221750</x:v>
      </x:c>
      <x:c r="E14">
        <x:v>51</x:v>
      </x:c>
    </x:row>
    <x:row r="15" spans="1:5">
      <x:c r="A15">
        <x:v>6</x:v>
      </x:c>
      <x:c r="B15">
        <x:v>221020</x:v>
      </x:c>
      <x:c r="E15">
        <x:v>52</x:v>
      </x:c>
    </x:row>
    <x:row r="16" spans="1:5">
      <x:c r="A16">
        <x:v>7</x:v>
      </x:c>
      <x:c r="B16">
        <x:v>213930</x:v>
      </x:c>
      <x:c r="E16">
        <x:v>53</x:v>
      </x:c>
    </x:row>
    <x:row r="17" spans="1:5">
      <x:c r="A17">
        <x:v>8</x:v>
      </x:c>
      <x:c r="B17">
        <x:v>213930</x:v>
      </x:c>
      <x:c r="E17">
        <x:v>54</x:v>
      </x:c>
    </x:row>
    <x:row r="18" spans="1:6">
      <x:c r="A18">
        <x:v>9</x:v>
      </x:c>
      <x:c r="B18">
        <x:v>221400</x:v>
      </x:c>
      <x:c r="E18">
        <x:v>55</x:v>
      </x:c>
      <x:c r="F18" s="2">
        <x:v>0.90000000000000002</x:v>
      </x:c>
    </x:row>
    <x:row r="19" spans="1:5">
      <x:c r="A19">
        <x:v>10</x:v>
      </x:c>
      <x:c r="B19">
        <x:v>222630</x:v>
      </x:c>
      <x:c r="E19">
        <x:v>56</x:v>
      </x:c>
    </x:row>
    <x:row r="20" spans="2:5">
      <x:c r="B20" s="3">
        <x:f>SUM(B2:B19)</x:f>
        <x:v>4693460</x:v>
      </x:c>
      <x:c r="C20" s="4">
        <x:v>6524180</x:v>
      </x:c>
      <x:c r="E20">
        <x:v>57</x:v>
      </x:c>
    </x:row>
    <x:row r="21" spans="3:5">
      <x:c r="C21" s="5">
        <x:f>C20-B20</x:f>
        <x:v>1830720</x:v>
      </x:c>
      <x:c r="E21">
        <x:v>58</x:v>
      </x:c>
    </x:row>
    <x:row r="22" spans="5:5">
      <x:c r="E22">
        <x:v>59</x:v>
      </x:c>
    </x:row>
    <x:row r="23" spans="5:6">
      <x:c r="E23">
        <x:v>60</x:v>
      </x:c>
      <x:c r="F23" s="2">
        <x:v>1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E9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1" width="11.62890625" customWidth="1"/>
    <x:col min="2" max="2" width="10.375" bestFit="1" customWidth="1"/>
    <x:col min="3" max="5" width="9.00390625" bestFit="1" customWidth="1"/>
  </x:cols>
  <x:sheetData>
    <x:row r="1" spans="1:2">
      <x:c r="A1" t="s">
        <x:v>1</x:v>
      </x:c>
      <x:c r="B1" s="6">
        <x:v>1157520</x:v>
      </x:c>
    </x:row>
    <x:row r="2" spans="1:2">
      <x:c r="A2" t="s">
        <x:v>4</x:v>
      </x:c>
      <x:c r="B2" s="6">
        <x:v>80000</x:v>
      </x:c>
    </x:row>
    <x:row r="3" spans="1:3">
      <x:c r="A3" t="s">
        <x:v>0</x:v>
      </x:c>
      <x:c r="C3" s="6">
        <x:v>200000</x:v>
      </x:c>
    </x:row>
    <x:row r="4" spans="1:4">
      <x:c r="A4" t="s">
        <x:v>2</x:v>
      </x:c>
      <x:c r="C4" s="6">
        <x:f>D4/2</x:f>
        <x:v>175500</x:v>
      </x:c>
      <x:c r="D4" s="7">
        <x:v>351000</x:v>
      </x:c>
    </x:row>
    <x:row r="5" spans="1:3">
      <x:c r="A5" t="s">
        <x:v>3</x:v>
      </x:c>
      <x:c r="C5" s="6">
        <x:v>13860</x:v>
      </x:c>
    </x:row>
    <x:row r="6" spans="1:5">
      <x:c r="A6" t="s">
        <x:v>5</x:v>
      </x:c>
      <x:c r="C6" s="6">
        <x:f>D6+E6</x:f>
        <x:v>201460</x:v>
      </x:c>
      <x:c r="D6">
        <x:v>108580</x:v>
      </x:c>
      <x:c r="E6">
        <x:v>92880</x:v>
      </x:c>
    </x:row>
    <x:row r="7" spans="3:3">
      <x:c r="C7" s="6">
        <x:f>SUM(C3:C6)</x:f>
        <x:v>590820</x:v>
      </x:c>
    </x:row>
    <x:row r="8" spans="2:2">
      <x:c r="B8" s="6">
        <x:f>SUM(B1:B7)</x:f>
        <x:v>1237520</x:v>
      </x:c>
    </x:row>
    <x:row r="9" spans="2:2">
      <x:c r="B9" s="6">
        <x:f>B8-C7</x:f>
        <x:v>646700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Chart1</vt:lpstr>
      <vt:lpstr>Chart2</vt:lpstr>
      <vt:lpstr>Sheet1</vt:lpstr>
      <vt:lpstr>Sheet2</vt:lpstr>
    </vt:vector>
  </ep:TitlesOfParts>
  <ep:TotalTime>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cp:revision>2</cp:revision>
  <dcterms:created xsi:type="dcterms:W3CDTF">2024-12-27T08:40:14.000</dcterms:created>
  <dcterms:modified xsi:type="dcterms:W3CDTF">2025-05-12T12:55:05.381</dcterms:modified>
  <cp:version>1300.0100.01</cp:version>
</cp:coreProperties>
</file>